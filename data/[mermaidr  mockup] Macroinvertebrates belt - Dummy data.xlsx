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servations" sheetId="1" r:id="rId4"/>
    <sheet state="visible" name="sampleunits" sheetId="2" r:id="rId5"/>
    <sheet state="visible" name="sampleevents" sheetId="3" r:id="rId6"/>
  </sheets>
  <definedNames/>
  <calcPr/>
</workbook>
</file>

<file path=xl/sharedStrings.xml><?xml version="1.0" encoding="utf-8"?>
<sst xmlns="http://schemas.openxmlformats.org/spreadsheetml/2006/main" count="243" uniqueCount="137">
  <si>
    <t>project</t>
  </si>
  <si>
    <t>tags</t>
  </si>
  <si>
    <t>country</t>
  </si>
  <si>
    <t>site</t>
  </si>
  <si>
    <t>latitude</t>
  </si>
  <si>
    <t>longitude</t>
  </si>
  <si>
    <t>reef_type</t>
  </si>
  <si>
    <t>reef_zone</t>
  </si>
  <si>
    <t>reef_exposure</t>
  </si>
  <si>
    <t>reef_slope</t>
  </si>
  <si>
    <t>tide</t>
  </si>
  <si>
    <t>current</t>
  </si>
  <si>
    <t>visibility</t>
  </si>
  <si>
    <t>relative_depth</t>
  </si>
  <si>
    <t>management</t>
  </si>
  <si>
    <t>management_secondary</t>
  </si>
  <si>
    <t>management_est_year</t>
  </si>
  <si>
    <t>management_size</t>
  </si>
  <si>
    <t>management_parties</t>
  </si>
  <si>
    <t>management_compliance</t>
  </si>
  <si>
    <t>management_rules</t>
  </si>
  <si>
    <t>sample_date</t>
  </si>
  <si>
    <t>sample_time</t>
  </si>
  <si>
    <t>depth</t>
  </si>
  <si>
    <t>transect_length</t>
  </si>
  <si>
    <t>transect_width</t>
  </si>
  <si>
    <t>assigned_transect_width_m</t>
  </si>
  <si>
    <t>size_bin</t>
  </si>
  <si>
    <t>observers</t>
  </si>
  <si>
    <t>transect_number</t>
  </si>
  <si>
    <t>label</t>
  </si>
  <si>
    <t>macroinvert_class</t>
  </si>
  <si>
    <t>macroinvert_order</t>
  </si>
  <si>
    <t>macroinvert_family</t>
  </si>
  <si>
    <t>macroinvert_genus</t>
  </si>
  <si>
    <t>macroinvert_taxon</t>
  </si>
  <si>
    <t>count</t>
  </si>
  <si>
    <t>size</t>
  </si>
  <si>
    <t>notes</t>
  </si>
  <si>
    <t>density_indha</t>
  </si>
  <si>
    <t>abundance_ind</t>
  </si>
  <si>
    <t>group_interest</t>
  </si>
  <si>
    <t>data_policy_macroinvert_belt</t>
  </si>
  <si>
    <t>project_notes</t>
  </si>
  <si>
    <t>site_notes</t>
  </si>
  <si>
    <t>management_notes</t>
  </si>
  <si>
    <t>sample_unit_id</t>
  </si>
  <si>
    <t>sample_event_id</t>
  </si>
  <si>
    <t>project_admins</t>
  </si>
  <si>
    <t>contact_link</t>
  </si>
  <si>
    <t>total_abundance_ind</t>
  </si>
  <si>
    <t>total_density_indha</t>
  </si>
  <si>
    <t>density_indha_macroinvert_class_asteroidea</t>
  </si>
  <si>
    <t>density_indha_macroinvert_class_bivalvia</t>
  </si>
  <si>
    <t>density_indha_macroinvert_class_echinoidea</t>
  </si>
  <si>
    <t>density_indha_macroinvert_class_gastropoda</t>
  </si>
  <si>
    <t>density_indha_macroinvert_class_holothuroidea</t>
  </si>
  <si>
    <t>density_indha_macroinvert_class_malacostraca</t>
  </si>
  <si>
    <t>density_indha_group_interest_conchs</t>
  </si>
  <si>
    <t>density_indha_group_interest_crabsshrimps</t>
  </si>
  <si>
    <t>density_indha_group_interest_cots</t>
  </si>
  <si>
    <t>density_indha_group_interest_corallivoroussnails</t>
  </si>
  <si>
    <t>density_indha_group_interest_giantclams</t>
  </si>
  <si>
    <t>density_indha_group_interest_lobsters</t>
  </si>
  <si>
    <t>density_indha_group_interest_octopus</t>
  </si>
  <si>
    <t>density_indha_group_interest_other</t>
  </si>
  <si>
    <t>density_indha_group_interest_pearloysters</t>
  </si>
  <si>
    <t>density_indha_group_interest_polychaeteworms</t>
  </si>
  <si>
    <t>density_indha_group_interest_seacucumbers</t>
  </si>
  <si>
    <t>density_indha_group_interest_seaurchins</t>
  </si>
  <si>
    <t>density_indha_group_interest_tritonstrumpets</t>
  </si>
  <si>
    <t>density_indha_group_interest_trochusshells</t>
  </si>
  <si>
    <t>density_indha_group_interest_turbanshells</t>
  </si>
  <si>
    <t>sample_unit_notes</t>
  </si>
  <si>
    <t>sample_unit_ids</t>
  </si>
  <si>
    <t>depth_avg</t>
  </si>
  <si>
    <t>depth_sd</t>
  </si>
  <si>
    <t>density_indha_avg</t>
  </si>
  <si>
    <t>density_indha_sd</t>
  </si>
  <si>
    <t>abundance_ind_avg</t>
  </si>
  <si>
    <t>abundance_ind_sd</t>
  </si>
  <si>
    <t>density_indha_macroinvert_class_avg_asteroidea</t>
  </si>
  <si>
    <t>density_indha_macroinvert_class_avg_bivalvia</t>
  </si>
  <si>
    <t>density_indha_macroinvert_class_avg_echinoidea</t>
  </si>
  <si>
    <t>density_indha_macroinvert_class_avg_gastropoda</t>
  </si>
  <si>
    <t>density_indha_macroinvert_class_avg_holothuroidea</t>
  </si>
  <si>
    <t>density_indha_macroinvert_class_avg_malacostraca</t>
  </si>
  <si>
    <t>density_indha_macroinvert_class_sd_asteroidea</t>
  </si>
  <si>
    <t>density_indha_macroinvert_class_sd_bivalvia</t>
  </si>
  <si>
    <t>density_indha_macroinvert_class_sd_echinoidea</t>
  </si>
  <si>
    <t>density_indha_macroinvert_class_sd_gastropoda</t>
  </si>
  <si>
    <t>density_indha_macroinvert_class_sd_holothuroidea</t>
  </si>
  <si>
    <t>density_indha_macroinvert_class_sd_malacostraca</t>
  </si>
  <si>
    <t>density_indha_group_interest_avg_conchs</t>
  </si>
  <si>
    <t>density_indha_group_interest_avg_crabsshrimps</t>
  </si>
  <si>
    <t>density_indha_group_interest_avg_cots</t>
  </si>
  <si>
    <t>density_indha_group_interest_avg_corallivoroussnails</t>
  </si>
  <si>
    <t>density_indha_group_interest_avg_giantclams</t>
  </si>
  <si>
    <t>density_indha_group_interest_avg_lobsters</t>
  </si>
  <si>
    <t>density_indha_group_interest_avg_octopus</t>
  </si>
  <si>
    <t>density_indha_group_interest_avg_other</t>
  </si>
  <si>
    <t>density_indha_group_interest_avg_pearloysters</t>
  </si>
  <si>
    <t>density_indha_group_interest_avg_polychaeteworms</t>
  </si>
  <si>
    <t>density_indha_group_interest_avg_seacucumbers</t>
  </si>
  <si>
    <t>density_indha_group_interest_avg_seaurchins</t>
  </si>
  <si>
    <t>density_indha_group_interest_avg_tritonstrumpets</t>
  </si>
  <si>
    <t>density_indha_group_interest_avg_trochusshells</t>
  </si>
  <si>
    <t>density_indha_group_interest_avg_turbanshells</t>
  </si>
  <si>
    <t>density_indha_group_interest_sd_conchs</t>
  </si>
  <si>
    <t>density_indha_group_interest_sd_crabsshrimps</t>
  </si>
  <si>
    <t>density_indha_group_interest_sd_cots</t>
  </si>
  <si>
    <t>density_indha_group_interest_sd_corallivoroussnails</t>
  </si>
  <si>
    <t>density_indha_group_interest_sd_giantclams</t>
  </si>
  <si>
    <t>density_indha_group_interest_sd_lobsters</t>
  </si>
  <si>
    <t>density_indha_group_interest_sd_octopus</t>
  </si>
  <si>
    <t>density_indha_group_interest_sd_other</t>
  </si>
  <si>
    <t>density_indha_group_interest_sd_pearloysters</t>
  </si>
  <si>
    <t>density_indha_group_interest_sd_polychaeteworms</t>
  </si>
  <si>
    <t>density_indha_group_interest_sd_seacucumbers</t>
  </si>
  <si>
    <t>density_indha_group_interest_sd_seaurchins</t>
  </si>
  <si>
    <t>density_indha_group_interest_sd_tritonstrumpets</t>
  </si>
  <si>
    <t>density_indha_group_interest_sd_trochusshells</t>
  </si>
  <si>
    <t>density_indha_group_interest_sd_turbanshells</t>
  </si>
  <si>
    <t>id</t>
  </si>
  <si>
    <t>sample_unit_count</t>
  </si>
  <si>
    <t>Macroinverts test</t>
  </si>
  <si>
    <t>WCS</t>
  </si>
  <si>
    <t>Indonesia</t>
  </si>
  <si>
    <t>Site A</t>
  </si>
  <si>
    <t>fringing</t>
  </si>
  <si>
    <t>back reef</t>
  </si>
  <si>
    <t>exposed</t>
  </si>
  <si>
    <t>Control A</t>
  </si>
  <si>
    <t>Open access</t>
  </si>
  <si>
    <t>Site B</t>
  </si>
  <si>
    <t>MPA B</t>
  </si>
  <si>
    <t>No take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</si>
</sst>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theme="1"/>
      <name val="Arial"/>
    </font>
    <font>
      <strike/>
      <sz val="11.0"/>
      <color theme="1"/>
      <name val="Arial"/>
    </font>
    <font>
      <color theme="1"/>
      <name val="Arial"/>
      <scheme val="minor"/>
    </font>
    <font>
      <color theme="1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shrinkToFit="0" vertical="top" wrapText="1"/>
    </xf>
    <xf borderId="0" fillId="0" fontId="4" numFmtId="164" xfId="0" applyAlignment="1" applyFont="1" applyNumberFormat="1">
      <alignment readingOrder="0" shrinkToFit="0" vertical="top" wrapText="1"/>
    </xf>
    <xf borderId="0" fillId="0" fontId="5" numFmtId="0" xfId="0" applyAlignment="1" applyFont="1">
      <alignment horizontal="right" shrinkToFit="0" vertical="top" wrapText="1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horizontal="right" shrinkToFit="0" vertical="top" wrapText="1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vertical="bottom"/>
    </xf>
    <xf borderId="0" fillId="0" fontId="5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2" max="32" width="20.38"/>
    <col customWidth="1" min="33" max="33" width="21.0"/>
    <col customWidth="1" min="34" max="34" width="21.5"/>
    <col customWidth="1" min="35" max="35" width="21.25"/>
    <col customWidth="1" min="36" max="36" width="2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9" max="29" width="12.5"/>
    <col customWidth="1" min="30" max="30" width="17.25"/>
    <col customWidth="1" min="31" max="31" width="16.25"/>
    <col customWidth="1" min="32" max="32" width="35.38"/>
    <col customWidth="1" min="33" max="38" width="30.0"/>
    <col customWidth="1" min="39" max="39" width="38.25"/>
    <col customWidth="1" min="40" max="40" width="30.38"/>
    <col customWidth="1" min="41" max="41" width="54.63"/>
    <col customWidth="1" min="42" max="42" width="36.38"/>
    <col customWidth="1" min="43" max="44" width="33.38"/>
    <col customWidth="1" min="45" max="45" width="31.5"/>
    <col customWidth="1" min="46" max="46" width="37.63"/>
    <col customWidth="1" min="47" max="47" width="41.75"/>
    <col customWidth="1" min="48" max="48" width="35.63"/>
    <col customWidth="1" min="49" max="49" width="36.38"/>
    <col customWidth="1" min="50" max="50" width="40.25"/>
    <col customWidth="1" min="51" max="51" width="38.25"/>
    <col customWidth="1" min="52" max="52" width="37.63"/>
    <col customWidth="1" min="53" max="53" width="2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29</v>
      </c>
      <c r="Z1" s="1" t="s">
        <v>30</v>
      </c>
      <c r="AA1" s="1" t="s">
        <v>27</v>
      </c>
      <c r="AB1" s="1" t="s">
        <v>24</v>
      </c>
      <c r="AC1" s="1" t="s">
        <v>25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" t="s">
        <v>65</v>
      </c>
      <c r="AT1" s="1" t="s">
        <v>66</v>
      </c>
      <c r="AU1" s="1" t="s">
        <v>67</v>
      </c>
      <c r="AV1" s="1" t="s">
        <v>68</v>
      </c>
      <c r="AW1" s="1" t="s">
        <v>69</v>
      </c>
      <c r="AX1" s="1" t="s">
        <v>70</v>
      </c>
      <c r="AY1" s="1" t="s">
        <v>71</v>
      </c>
      <c r="AZ1" s="1" t="s">
        <v>72</v>
      </c>
      <c r="BA1" s="1" t="s">
        <v>42</v>
      </c>
      <c r="BB1" s="1" t="s">
        <v>43</v>
      </c>
      <c r="BC1" s="1" t="s">
        <v>44</v>
      </c>
      <c r="BD1" s="1" t="s">
        <v>45</v>
      </c>
      <c r="BE1" s="1" t="s">
        <v>73</v>
      </c>
      <c r="BF1" s="1" t="s">
        <v>47</v>
      </c>
      <c r="BG1" s="1" t="s">
        <v>74</v>
      </c>
      <c r="BH1" s="1" t="s">
        <v>48</v>
      </c>
      <c r="BI1" s="1" t="s">
        <v>49</v>
      </c>
    </row>
    <row r="8">
      <c r="AB8" s="2"/>
    </row>
    <row r="9">
      <c r="AB9" s="3"/>
    </row>
    <row r="10">
      <c r="AB10" s="3"/>
    </row>
    <row r="11">
      <c r="AB11" s="3"/>
    </row>
    <row r="12">
      <c r="AB12" s="4"/>
    </row>
    <row r="13">
      <c r="AB13" s="3"/>
    </row>
    <row r="14">
      <c r="AP14" s="3"/>
    </row>
    <row r="15">
      <c r="AP15" s="3"/>
    </row>
    <row r="16">
      <c r="AP16" s="4"/>
    </row>
    <row r="17">
      <c r="AP17" s="4"/>
    </row>
    <row r="18">
      <c r="AP18" s="5"/>
    </row>
    <row r="19">
      <c r="AP19" s="4"/>
    </row>
    <row r="20">
      <c r="AP20" s="3"/>
    </row>
    <row r="21">
      <c r="AP21" s="3"/>
    </row>
    <row r="22">
      <c r="AP22" s="3"/>
    </row>
    <row r="23">
      <c r="AP23" s="3"/>
    </row>
    <row r="24">
      <c r="AP24" s="4"/>
    </row>
    <row r="25">
      <c r="AP25" s="3"/>
    </row>
    <row r="26">
      <c r="AP26" s="3"/>
    </row>
    <row r="27">
      <c r="AP27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7.63"/>
    <col customWidth="1" min="3" max="3" width="8.25"/>
    <col customWidth="1" min="4" max="4" width="5.5"/>
    <col customWidth="1" min="5" max="5" width="8.5"/>
    <col customWidth="1" min="6" max="6" width="9.63"/>
    <col customWidth="1" min="7" max="7" width="8.38"/>
    <col customWidth="1" min="8" max="8" width="8.5"/>
    <col customWidth="1" min="9" max="9" width="11.88"/>
    <col customWidth="1" min="10" max="10" width="4.0"/>
    <col customWidth="1" min="11" max="11" width="6.5"/>
    <col customWidth="1" min="12" max="12" width="7.38"/>
    <col customWidth="1" min="13" max="13" width="11.13"/>
    <col customWidth="1" min="14" max="14" width="19.75"/>
    <col customWidth="1" min="15" max="15" width="18.5"/>
    <col customWidth="1" min="16" max="16" width="14.75"/>
    <col customWidth="1" min="17" max="17" width="17.25"/>
    <col customWidth="1" min="18" max="18" width="20.63"/>
    <col customWidth="1" min="19" max="19" width="15.75"/>
    <col customWidth="1" min="20" max="20" width="10.75"/>
    <col customWidth="1" min="21" max="21" width="9.0"/>
    <col customWidth="1" min="22" max="22" width="8.13"/>
    <col customWidth="1" min="23" max="23" width="15.25"/>
    <col customWidth="1" min="24" max="24" width="14.38"/>
    <col customWidth="1" min="25" max="25" width="16.25"/>
    <col customWidth="1" min="26" max="26" width="15.38"/>
    <col customWidth="1" min="27" max="27" width="44.5"/>
    <col customWidth="1" min="28" max="28" width="42.38"/>
    <col customWidth="1" min="29" max="29" width="44.88"/>
    <col customWidth="1" min="30" max="30" width="45.13"/>
    <col customWidth="1" min="31" max="31" width="47.38"/>
    <col customWidth="1" min="32" max="32" width="46.5"/>
    <col customWidth="1" min="33" max="33" width="43.63"/>
    <col customWidth="1" min="34" max="34" width="41.5"/>
    <col customWidth="1" min="35" max="35" width="44.0"/>
    <col customWidth="1" min="36" max="36" width="44.25"/>
    <col customWidth="1" min="37" max="37" width="46.5"/>
    <col customWidth="1" min="38" max="38" width="45.63"/>
    <col customWidth="1" min="39" max="39" width="36.0"/>
    <col customWidth="1" min="40" max="40" width="41.75"/>
    <col customWidth="1" min="41" max="41" width="33.88"/>
    <col customWidth="1" min="42" max="42" width="58.13"/>
    <col customWidth="1" min="43" max="43" width="39.88"/>
    <col customWidth="1" min="44" max="45" width="36.88"/>
    <col customWidth="1" min="46" max="46" width="35.0"/>
    <col customWidth="1" min="47" max="47" width="41.13"/>
    <col customWidth="1" min="48" max="48" width="45.25"/>
    <col customWidth="1" min="49" max="49" width="42.5"/>
    <col customWidth="1" min="50" max="50" width="39.75"/>
    <col customWidth="1" min="51" max="51" width="43.75"/>
    <col customWidth="1" min="52" max="52" width="41.75"/>
    <col customWidth="1" min="53" max="53" width="41.13"/>
    <col customWidth="1" min="54" max="54" width="35.13"/>
    <col customWidth="1" min="55" max="55" width="40.88"/>
    <col customWidth="1" min="56" max="56" width="33.0"/>
    <col customWidth="1" min="57" max="57" width="57.25"/>
    <col customWidth="1" min="58" max="58" width="39.0"/>
    <col customWidth="1" min="59" max="60" width="36.0"/>
    <col customWidth="1" min="61" max="61" width="34.13"/>
    <col customWidth="1" min="62" max="62" width="40.25"/>
    <col customWidth="1" min="63" max="63" width="44.38"/>
    <col customWidth="1" min="64" max="64" width="41.63"/>
    <col customWidth="1" min="65" max="65" width="38.88"/>
    <col customWidth="1" min="66" max="66" width="42.88"/>
    <col customWidth="1" min="67" max="67" width="40.88"/>
    <col customWidth="1" min="68" max="68" width="40.25"/>
    <col customWidth="1" min="69" max="69" width="29.5"/>
    <col customWidth="1" min="70" max="70" width="10.88"/>
    <col customWidth="1" min="71" max="71" width="11.5"/>
    <col customWidth="1" min="72" max="72" width="8.88"/>
    <col customWidth="1" min="73" max="73" width="16.25"/>
    <col customWidth="1" min="74" max="74" width="2.38"/>
    <col customWidth="1" min="75" max="75" width="15.75"/>
    <col customWidth="1" min="76" max="76" width="12.88"/>
    <col customWidth="1" min="77" max="77" width="10.25"/>
    <col customWidth="1" min="78" max="78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75</v>
      </c>
      <c r="V1" s="1" t="s">
        <v>76</v>
      </c>
      <c r="W1" s="1" t="s">
        <v>77</v>
      </c>
      <c r="X1" s="1" t="s">
        <v>78</v>
      </c>
      <c r="Y1" s="1" t="s">
        <v>79</v>
      </c>
      <c r="Z1" s="1" t="s">
        <v>80</v>
      </c>
      <c r="AA1" s="1" t="s">
        <v>81</v>
      </c>
      <c r="AB1" s="1" t="s">
        <v>82</v>
      </c>
      <c r="AC1" s="1" t="s">
        <v>83</v>
      </c>
      <c r="AD1" s="1" t="s">
        <v>84</v>
      </c>
      <c r="AE1" s="1" t="s">
        <v>85</v>
      </c>
      <c r="AF1" s="1" t="s">
        <v>86</v>
      </c>
      <c r="AG1" s="1" t="s">
        <v>87</v>
      </c>
      <c r="AH1" s="1" t="s">
        <v>88</v>
      </c>
      <c r="AI1" s="1" t="s">
        <v>89</v>
      </c>
      <c r="AJ1" s="1" t="s">
        <v>90</v>
      </c>
      <c r="AK1" s="1" t="s">
        <v>91</v>
      </c>
      <c r="AL1" s="1" t="s">
        <v>92</v>
      </c>
      <c r="AM1" s="1" t="s">
        <v>93</v>
      </c>
      <c r="AN1" s="1" t="s">
        <v>94</v>
      </c>
      <c r="AO1" s="1" t="s">
        <v>95</v>
      </c>
      <c r="AP1" s="1" t="s">
        <v>96</v>
      </c>
      <c r="AQ1" s="1" t="s">
        <v>97</v>
      </c>
      <c r="AR1" s="1" t="s">
        <v>98</v>
      </c>
      <c r="AS1" s="1" t="s">
        <v>99</v>
      </c>
      <c r="AT1" s="1" t="s">
        <v>100</v>
      </c>
      <c r="AU1" s="1" t="s">
        <v>101</v>
      </c>
      <c r="AV1" s="1" t="s">
        <v>102</v>
      </c>
      <c r="AW1" s="1" t="s">
        <v>103</v>
      </c>
      <c r="AX1" s="1" t="s">
        <v>104</v>
      </c>
      <c r="AY1" s="1" t="s">
        <v>105</v>
      </c>
      <c r="AZ1" s="1" t="s">
        <v>106</v>
      </c>
      <c r="BA1" s="1" t="s">
        <v>107</v>
      </c>
      <c r="BB1" s="1" t="s">
        <v>108</v>
      </c>
      <c r="BC1" s="1" t="s">
        <v>109</v>
      </c>
      <c r="BD1" s="1" t="s">
        <v>110</v>
      </c>
      <c r="BE1" s="1" t="s">
        <v>111</v>
      </c>
      <c r="BF1" s="1" t="s">
        <v>112</v>
      </c>
      <c r="BG1" s="1" t="s">
        <v>113</v>
      </c>
      <c r="BH1" s="1" t="s">
        <v>114</v>
      </c>
      <c r="BI1" s="1" t="s">
        <v>115</v>
      </c>
      <c r="BJ1" s="1" t="s">
        <v>116</v>
      </c>
      <c r="BK1" s="1" t="s">
        <v>117</v>
      </c>
      <c r="BL1" s="1" t="s">
        <v>118</v>
      </c>
      <c r="BM1" s="1" t="s">
        <v>119</v>
      </c>
      <c r="BN1" s="1" t="s">
        <v>120</v>
      </c>
      <c r="BO1" s="1" t="s">
        <v>121</v>
      </c>
      <c r="BP1" s="1" t="s">
        <v>122</v>
      </c>
      <c r="BQ1" s="1" t="s">
        <v>42</v>
      </c>
      <c r="BR1" s="1" t="s">
        <v>28</v>
      </c>
      <c r="BS1" s="1" t="s">
        <v>43</v>
      </c>
      <c r="BT1" s="1" t="s">
        <v>44</v>
      </c>
      <c r="BU1" s="1" t="s">
        <v>45</v>
      </c>
      <c r="BV1" s="1" t="s">
        <v>123</v>
      </c>
      <c r="BW1" s="1" t="s">
        <v>124</v>
      </c>
      <c r="BX1" s="1" t="s">
        <v>48</v>
      </c>
      <c r="BY1" s="1" t="s">
        <v>49</v>
      </c>
      <c r="BZ1" s="1" t="s">
        <v>47</v>
      </c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</row>
    <row r="2">
      <c r="A2" s="6" t="s">
        <v>125</v>
      </c>
      <c r="B2" s="7" t="s">
        <v>126</v>
      </c>
      <c r="C2" s="6" t="s">
        <v>127</v>
      </c>
      <c r="D2" s="6" t="s">
        <v>128</v>
      </c>
      <c r="E2" s="6">
        <v>-8.683002</v>
      </c>
      <c r="F2" s="6">
        <v>116.590441</v>
      </c>
      <c r="G2" s="6" t="s">
        <v>129</v>
      </c>
      <c r="H2" s="6" t="s">
        <v>130</v>
      </c>
      <c r="I2" s="6" t="s">
        <v>131</v>
      </c>
      <c r="J2" s="6"/>
      <c r="K2" s="6"/>
      <c r="L2" s="6"/>
      <c r="M2" s="8" t="s">
        <v>132</v>
      </c>
      <c r="N2" s="6"/>
      <c r="O2" s="6"/>
      <c r="P2" s="6"/>
      <c r="Q2" s="6"/>
      <c r="R2" s="6"/>
      <c r="S2" s="8" t="s">
        <v>133</v>
      </c>
      <c r="T2" s="9">
        <v>45261.0</v>
      </c>
      <c r="U2" s="10">
        <v>10.0</v>
      </c>
      <c r="V2" s="11"/>
      <c r="W2" s="10">
        <f t="shared" ref="W2:W7" si="1">U2*100</f>
        <v>1000</v>
      </c>
      <c r="X2" s="12">
        <v>100.0</v>
      </c>
      <c r="Y2" s="12">
        <v>80.0</v>
      </c>
      <c r="Z2" s="12">
        <v>10.0</v>
      </c>
      <c r="AA2" s="12">
        <v>150.0</v>
      </c>
      <c r="AB2" s="12">
        <v>300.0</v>
      </c>
      <c r="AC2" s="12">
        <v>1200.0</v>
      </c>
      <c r="AD2" s="12">
        <v>900.0</v>
      </c>
      <c r="AE2" s="12">
        <v>500.0</v>
      </c>
      <c r="AF2" s="12">
        <v>200.0</v>
      </c>
      <c r="AG2" s="10">
        <v>20.0</v>
      </c>
      <c r="AH2" s="10">
        <v>40.0</v>
      </c>
      <c r="AI2" s="10">
        <v>90.0</v>
      </c>
      <c r="AJ2" s="10">
        <v>75.0</v>
      </c>
      <c r="AK2" s="10">
        <v>55.0</v>
      </c>
      <c r="AL2" s="10">
        <v>30.0</v>
      </c>
      <c r="AM2" s="10">
        <v>10.0</v>
      </c>
      <c r="AO2" s="10">
        <v>5.0</v>
      </c>
      <c r="AP2" s="10">
        <v>20.0</v>
      </c>
      <c r="AQ2" s="10">
        <v>40.0</v>
      </c>
      <c r="AR2" s="10">
        <v>3.0</v>
      </c>
      <c r="AW2" s="10">
        <v>60.0</v>
      </c>
      <c r="BB2" s="10">
        <v>4.0</v>
      </c>
      <c r="BD2" s="10">
        <v>2.0</v>
      </c>
      <c r="BE2" s="10">
        <v>6.0</v>
      </c>
      <c r="BF2" s="10">
        <v>10.0</v>
      </c>
      <c r="BG2" s="10">
        <v>1.0</v>
      </c>
      <c r="BL2" s="10">
        <v>15.0</v>
      </c>
      <c r="BQ2" s="6"/>
      <c r="BR2" s="8"/>
      <c r="BS2" s="6"/>
      <c r="BT2" s="6"/>
      <c r="BU2" s="6"/>
      <c r="BV2" s="6"/>
      <c r="BW2" s="12">
        <v>3.0</v>
      </c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</row>
    <row r="3">
      <c r="A3" s="6" t="s">
        <v>125</v>
      </c>
      <c r="B3" s="7" t="s">
        <v>126</v>
      </c>
      <c r="C3" s="6" t="s">
        <v>127</v>
      </c>
      <c r="D3" s="6" t="s">
        <v>128</v>
      </c>
      <c r="E3" s="6">
        <v>-8.683002</v>
      </c>
      <c r="F3" s="6">
        <v>116.590441</v>
      </c>
      <c r="G3" s="6" t="s">
        <v>129</v>
      </c>
      <c r="H3" s="6" t="s">
        <v>130</v>
      </c>
      <c r="I3" s="6" t="s">
        <v>131</v>
      </c>
      <c r="J3" s="6"/>
      <c r="K3" s="6"/>
      <c r="L3" s="6"/>
      <c r="M3" s="13" t="s">
        <v>132</v>
      </c>
      <c r="N3" s="11"/>
      <c r="O3" s="6"/>
      <c r="P3" s="11"/>
      <c r="Q3" s="6"/>
      <c r="R3" s="6"/>
      <c r="S3" s="13" t="s">
        <v>133</v>
      </c>
      <c r="T3" s="9">
        <v>45627.0</v>
      </c>
      <c r="U3" s="10">
        <v>10.0</v>
      </c>
      <c r="V3" s="11"/>
      <c r="W3" s="10">
        <f t="shared" si="1"/>
        <v>1000</v>
      </c>
      <c r="X3" s="12">
        <v>80.0</v>
      </c>
      <c r="Y3" s="12">
        <v>60.0</v>
      </c>
      <c r="Z3" s="12">
        <v>8.0</v>
      </c>
      <c r="AA3" s="10">
        <v>100.0</v>
      </c>
      <c r="AB3" s="10">
        <v>240.0</v>
      </c>
      <c r="AC3" s="10">
        <v>900.0</v>
      </c>
      <c r="AD3" s="10">
        <v>700.0</v>
      </c>
      <c r="AE3" s="10">
        <v>400.0</v>
      </c>
      <c r="AF3" s="10">
        <v>150.0</v>
      </c>
      <c r="AG3" s="10">
        <v>18.0</v>
      </c>
      <c r="AH3" s="10">
        <v>35.0</v>
      </c>
      <c r="AI3" s="10">
        <v>70.0</v>
      </c>
      <c r="AJ3" s="10">
        <v>60.0</v>
      </c>
      <c r="AK3" s="10">
        <v>50.0</v>
      </c>
      <c r="AL3" s="10">
        <v>25.0</v>
      </c>
      <c r="AM3" s="10">
        <v>6.0</v>
      </c>
      <c r="AO3" s="10">
        <v>3.0</v>
      </c>
      <c r="AP3" s="10">
        <v>15.0</v>
      </c>
      <c r="AQ3" s="10">
        <v>30.0</v>
      </c>
      <c r="AR3" s="10">
        <v>2.0</v>
      </c>
      <c r="AW3" s="10">
        <v>45.0</v>
      </c>
      <c r="BB3" s="10">
        <v>2.0</v>
      </c>
      <c r="BD3" s="10">
        <v>1.0</v>
      </c>
      <c r="BE3" s="10">
        <v>5.0</v>
      </c>
      <c r="BF3" s="10">
        <v>8.0</v>
      </c>
      <c r="BG3" s="10">
        <v>1.0</v>
      </c>
      <c r="BL3" s="10">
        <v>12.0</v>
      </c>
      <c r="BQ3" s="6"/>
      <c r="BR3" s="8"/>
      <c r="BS3" s="6"/>
      <c r="BT3" s="6"/>
      <c r="BU3" s="6"/>
      <c r="BV3" s="6"/>
      <c r="BW3" s="12">
        <v>3.0</v>
      </c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</row>
    <row r="4">
      <c r="A4" s="6" t="s">
        <v>125</v>
      </c>
      <c r="B4" s="7" t="s">
        <v>126</v>
      </c>
      <c r="C4" s="6" t="s">
        <v>127</v>
      </c>
      <c r="D4" s="6" t="s">
        <v>128</v>
      </c>
      <c r="E4" s="6">
        <v>-8.683002</v>
      </c>
      <c r="F4" s="6">
        <v>116.590441</v>
      </c>
      <c r="G4" s="6" t="s">
        <v>129</v>
      </c>
      <c r="H4" s="6" t="s">
        <v>130</v>
      </c>
      <c r="I4" s="6" t="s">
        <v>131</v>
      </c>
      <c r="J4" s="6"/>
      <c r="K4" s="6"/>
      <c r="L4" s="6"/>
      <c r="M4" s="13" t="s">
        <v>132</v>
      </c>
      <c r="N4" s="11"/>
      <c r="O4" s="6"/>
      <c r="P4" s="11"/>
      <c r="Q4" s="6"/>
      <c r="R4" s="6"/>
      <c r="S4" s="13" t="s">
        <v>133</v>
      </c>
      <c r="T4" s="9">
        <v>45992.0</v>
      </c>
      <c r="U4" s="10">
        <v>10.0</v>
      </c>
      <c r="V4" s="11"/>
      <c r="W4" s="10">
        <f t="shared" si="1"/>
        <v>1000</v>
      </c>
      <c r="X4" s="12">
        <v>85.0</v>
      </c>
      <c r="Y4" s="12">
        <v>50.0</v>
      </c>
      <c r="Z4" s="12">
        <v>9.0</v>
      </c>
      <c r="AA4" s="10">
        <v>80.0</v>
      </c>
      <c r="AB4" s="10">
        <v>200.0</v>
      </c>
      <c r="AC4" s="10">
        <v>750.0</v>
      </c>
      <c r="AD4" s="10">
        <v>600.0</v>
      </c>
      <c r="AE4" s="10">
        <v>350.0</v>
      </c>
      <c r="AF4" s="10">
        <v>120.0</v>
      </c>
      <c r="AG4" s="10">
        <v>15.0</v>
      </c>
      <c r="AH4" s="10">
        <v>30.0</v>
      </c>
      <c r="AI4" s="10">
        <v>65.0</v>
      </c>
      <c r="AJ4" s="10">
        <v>55.0</v>
      </c>
      <c r="AK4" s="10">
        <v>45.0</v>
      </c>
      <c r="AL4" s="10">
        <v>20.0</v>
      </c>
      <c r="AM4" s="10">
        <v>4.0</v>
      </c>
      <c r="AO4" s="10">
        <v>2.0</v>
      </c>
      <c r="AP4" s="10">
        <v>10.0</v>
      </c>
      <c r="AQ4" s="10">
        <v>20.0</v>
      </c>
      <c r="AR4" s="10">
        <v>2.0</v>
      </c>
      <c r="AW4" s="10">
        <v>40.0</v>
      </c>
      <c r="BB4" s="10">
        <v>2.0</v>
      </c>
      <c r="BD4" s="10">
        <v>1.0</v>
      </c>
      <c r="BE4" s="10">
        <v>4.0</v>
      </c>
      <c r="BF4" s="10">
        <v>6.0</v>
      </c>
      <c r="BG4" s="10">
        <v>1.0</v>
      </c>
      <c r="BL4" s="10">
        <v>10.0</v>
      </c>
      <c r="BQ4" s="6"/>
      <c r="BR4" s="8"/>
      <c r="BS4" s="6"/>
      <c r="BT4" s="6"/>
      <c r="BU4" s="6"/>
      <c r="BV4" s="6"/>
      <c r="BW4" s="12">
        <v>3.0</v>
      </c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</row>
    <row r="5">
      <c r="A5" s="6" t="s">
        <v>125</v>
      </c>
      <c r="B5" s="7" t="s">
        <v>126</v>
      </c>
      <c r="C5" s="6" t="s">
        <v>127</v>
      </c>
      <c r="D5" s="6" t="s">
        <v>134</v>
      </c>
      <c r="E5" s="6">
        <v>-8.752619</v>
      </c>
      <c r="F5" s="6">
        <v>116.54879</v>
      </c>
      <c r="G5" s="6" t="s">
        <v>129</v>
      </c>
      <c r="H5" s="6" t="s">
        <v>130</v>
      </c>
      <c r="I5" s="6" t="s">
        <v>131</v>
      </c>
      <c r="J5" s="6"/>
      <c r="K5" s="6"/>
      <c r="L5" s="6"/>
      <c r="M5" s="13" t="s">
        <v>135</v>
      </c>
      <c r="N5" s="11"/>
      <c r="O5" s="6"/>
      <c r="P5" s="11"/>
      <c r="Q5" s="6"/>
      <c r="R5" s="6"/>
      <c r="S5" s="13" t="s">
        <v>136</v>
      </c>
      <c r="T5" s="9">
        <v>45261.0</v>
      </c>
      <c r="U5" s="10">
        <v>10.0</v>
      </c>
      <c r="V5" s="14"/>
      <c r="W5" s="12">
        <f t="shared" si="1"/>
        <v>1000</v>
      </c>
      <c r="X5" s="12">
        <v>150.0</v>
      </c>
      <c r="Y5" s="12">
        <v>120.0</v>
      </c>
      <c r="Z5" s="12">
        <v>11.0</v>
      </c>
      <c r="AA5" s="10">
        <v>250.0</v>
      </c>
      <c r="AB5" s="10">
        <v>450.0</v>
      </c>
      <c r="AC5" s="10">
        <v>2000.0</v>
      </c>
      <c r="AD5" s="10">
        <v>1500.0</v>
      </c>
      <c r="AE5" s="10">
        <v>900.0</v>
      </c>
      <c r="AF5" s="10">
        <v>350.0</v>
      </c>
      <c r="AG5" s="10">
        <v>30.0</v>
      </c>
      <c r="AH5" s="10">
        <v>50.0</v>
      </c>
      <c r="AI5" s="10">
        <v>110.0</v>
      </c>
      <c r="AJ5" s="10">
        <v>105.0</v>
      </c>
      <c r="AK5" s="10">
        <v>90.0</v>
      </c>
      <c r="AL5" s="10">
        <v>40.0</v>
      </c>
      <c r="AM5" s="10">
        <v>30.0</v>
      </c>
      <c r="AO5" s="10">
        <v>15.0</v>
      </c>
      <c r="AP5" s="10">
        <v>30.0</v>
      </c>
      <c r="AQ5" s="10">
        <v>100.0</v>
      </c>
      <c r="AR5" s="10">
        <v>6.0</v>
      </c>
      <c r="AW5" s="10">
        <v>150.0</v>
      </c>
      <c r="BB5" s="10">
        <v>10.0</v>
      </c>
      <c r="BD5" s="10">
        <v>5.0</v>
      </c>
      <c r="BE5" s="10">
        <v>12.0</v>
      </c>
      <c r="BF5" s="10">
        <v>20.0</v>
      </c>
      <c r="BG5" s="10">
        <v>2.0</v>
      </c>
      <c r="BL5" s="10">
        <v>25.0</v>
      </c>
      <c r="BQ5" s="6"/>
      <c r="BR5" s="8"/>
      <c r="BS5" s="6"/>
      <c r="BT5" s="6"/>
      <c r="BU5" s="6"/>
      <c r="BV5" s="6"/>
      <c r="BW5" s="15">
        <v>3.0</v>
      </c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</row>
    <row r="6">
      <c r="A6" s="6" t="s">
        <v>125</v>
      </c>
      <c r="B6" s="7" t="s">
        <v>126</v>
      </c>
      <c r="C6" s="6" t="s">
        <v>127</v>
      </c>
      <c r="D6" s="6" t="s">
        <v>134</v>
      </c>
      <c r="E6" s="6">
        <v>-8.752619</v>
      </c>
      <c r="F6" s="6">
        <v>116.54879</v>
      </c>
      <c r="G6" s="6" t="s">
        <v>129</v>
      </c>
      <c r="H6" s="6" t="s">
        <v>130</v>
      </c>
      <c r="I6" s="6" t="s">
        <v>131</v>
      </c>
      <c r="J6" s="6"/>
      <c r="K6" s="6"/>
      <c r="L6" s="6"/>
      <c r="M6" s="13" t="s">
        <v>135</v>
      </c>
      <c r="N6" s="11"/>
      <c r="O6" s="6"/>
      <c r="P6" s="11"/>
      <c r="Q6" s="6"/>
      <c r="R6" s="6"/>
      <c r="S6" s="13" t="s">
        <v>136</v>
      </c>
      <c r="T6" s="9">
        <v>45627.0</v>
      </c>
      <c r="U6" s="10">
        <v>10.0</v>
      </c>
      <c r="V6" s="14"/>
      <c r="W6" s="12">
        <f t="shared" si="1"/>
        <v>1000</v>
      </c>
      <c r="X6" s="12">
        <v>200.0</v>
      </c>
      <c r="Y6" s="12">
        <v>140.0</v>
      </c>
      <c r="Z6" s="12">
        <v>15.0</v>
      </c>
      <c r="AA6" s="10">
        <v>300.0</v>
      </c>
      <c r="AB6" s="10">
        <v>500.0</v>
      </c>
      <c r="AC6" s="10">
        <v>2400.0</v>
      </c>
      <c r="AD6" s="10">
        <v>1800.0</v>
      </c>
      <c r="AE6" s="10">
        <v>1100.0</v>
      </c>
      <c r="AF6" s="10">
        <v>400.0</v>
      </c>
      <c r="AG6" s="10">
        <v>35.0</v>
      </c>
      <c r="AH6" s="10">
        <v>55.0</v>
      </c>
      <c r="AI6" s="10">
        <v>125.0</v>
      </c>
      <c r="AJ6" s="10">
        <v>115.0</v>
      </c>
      <c r="AK6" s="10">
        <v>95.0</v>
      </c>
      <c r="AL6" s="10">
        <v>45.0</v>
      </c>
      <c r="AM6" s="10">
        <v>32.0</v>
      </c>
      <c r="AO6" s="10">
        <v>18.0</v>
      </c>
      <c r="AP6" s="10">
        <v>40.0</v>
      </c>
      <c r="AQ6" s="10">
        <v>120.0</v>
      </c>
      <c r="AR6" s="10">
        <v>7.0</v>
      </c>
      <c r="AW6" s="10">
        <v>180.0</v>
      </c>
      <c r="BB6" s="10">
        <v>12.0</v>
      </c>
      <c r="BD6" s="10">
        <v>6.0</v>
      </c>
      <c r="BE6" s="10">
        <v>15.0</v>
      </c>
      <c r="BF6" s="10">
        <v>25.0</v>
      </c>
      <c r="BG6" s="10">
        <v>3.0</v>
      </c>
      <c r="BL6" s="10">
        <v>30.0</v>
      </c>
      <c r="BQ6" s="6"/>
      <c r="BR6" s="8"/>
      <c r="BS6" s="6"/>
      <c r="BT6" s="6"/>
      <c r="BU6" s="6"/>
      <c r="BV6" s="6"/>
      <c r="BW6" s="12">
        <v>3.0</v>
      </c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</row>
    <row r="7">
      <c r="A7" s="6" t="s">
        <v>125</v>
      </c>
      <c r="B7" s="7" t="s">
        <v>126</v>
      </c>
      <c r="C7" s="6" t="s">
        <v>127</v>
      </c>
      <c r="D7" s="6" t="s">
        <v>134</v>
      </c>
      <c r="E7" s="6">
        <v>-8.752619</v>
      </c>
      <c r="F7" s="6">
        <v>116.54879</v>
      </c>
      <c r="G7" s="6" t="s">
        <v>129</v>
      </c>
      <c r="H7" s="6" t="s">
        <v>130</v>
      </c>
      <c r="I7" s="6" t="s">
        <v>131</v>
      </c>
      <c r="J7" s="6"/>
      <c r="K7" s="6"/>
      <c r="L7" s="6"/>
      <c r="M7" s="13" t="s">
        <v>135</v>
      </c>
      <c r="N7" s="11"/>
      <c r="O7" s="6"/>
      <c r="P7" s="11"/>
      <c r="Q7" s="6"/>
      <c r="R7" s="6"/>
      <c r="S7" s="13" t="s">
        <v>136</v>
      </c>
      <c r="T7" s="9">
        <v>45992.0</v>
      </c>
      <c r="U7" s="10">
        <v>10.0</v>
      </c>
      <c r="V7" s="14"/>
      <c r="W7" s="12">
        <f t="shared" si="1"/>
        <v>1000</v>
      </c>
      <c r="X7" s="12">
        <v>180.0</v>
      </c>
      <c r="Y7" s="12">
        <v>180.0</v>
      </c>
      <c r="Z7" s="12">
        <v>13.0</v>
      </c>
      <c r="AA7" s="10">
        <v>350.0</v>
      </c>
      <c r="AB7" s="10">
        <v>600.0</v>
      </c>
      <c r="AC7" s="10">
        <v>2800.0</v>
      </c>
      <c r="AD7" s="10">
        <v>2200.0</v>
      </c>
      <c r="AE7" s="10">
        <v>1400.0</v>
      </c>
      <c r="AF7" s="10">
        <v>500.0</v>
      </c>
      <c r="AG7" s="10">
        <v>40.0</v>
      </c>
      <c r="AH7" s="10">
        <v>65.0</v>
      </c>
      <c r="AI7" s="10">
        <v>140.0</v>
      </c>
      <c r="AJ7" s="10">
        <v>130.0</v>
      </c>
      <c r="AK7" s="10">
        <v>110.0</v>
      </c>
      <c r="AL7" s="10">
        <v>55.0</v>
      </c>
      <c r="AM7" s="10">
        <v>40.0</v>
      </c>
      <c r="AO7" s="10">
        <v>20.0</v>
      </c>
      <c r="AP7" s="10">
        <v>50.0</v>
      </c>
      <c r="AQ7" s="10">
        <v>150.0</v>
      </c>
      <c r="AR7" s="10">
        <v>8.0</v>
      </c>
      <c r="AW7" s="10">
        <v>200.0</v>
      </c>
      <c r="BB7" s="10">
        <v>14.0</v>
      </c>
      <c r="BD7" s="10">
        <v>7.0</v>
      </c>
      <c r="BE7" s="10">
        <v>18.0</v>
      </c>
      <c r="BF7" s="10">
        <v>30.0</v>
      </c>
      <c r="BG7" s="10">
        <v>3.0</v>
      </c>
      <c r="BL7" s="10">
        <v>35.0</v>
      </c>
      <c r="BQ7" s="6"/>
      <c r="BR7" s="8"/>
      <c r="BS7" s="6"/>
      <c r="BT7" s="6"/>
      <c r="BU7" s="6"/>
      <c r="BV7" s="6"/>
      <c r="BW7" s="12">
        <v>3.0</v>
      </c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</row>
    <row r="8">
      <c r="AE8" s="16"/>
    </row>
    <row r="14">
      <c r="AQ14" s="3"/>
      <c r="BF14" s="3"/>
    </row>
    <row r="15">
      <c r="AQ15" s="3"/>
      <c r="BF15" s="3"/>
    </row>
    <row r="16">
      <c r="AQ16" s="4"/>
      <c r="BF16" s="4"/>
    </row>
    <row r="17">
      <c r="AQ17" s="4"/>
      <c r="BF17" s="4"/>
    </row>
    <row r="18">
      <c r="AQ18" s="5"/>
      <c r="BF18" s="5"/>
    </row>
    <row r="19">
      <c r="AQ19" s="4"/>
      <c r="BF19" s="4"/>
    </row>
    <row r="20">
      <c r="AQ20" s="3"/>
      <c r="BF20" s="3"/>
    </row>
    <row r="21">
      <c r="AQ21" s="3"/>
      <c r="BF21" s="3"/>
    </row>
    <row r="22">
      <c r="AQ22" s="3"/>
      <c r="BF22" s="3"/>
    </row>
    <row r="23">
      <c r="AQ23" s="3"/>
      <c r="BF23" s="3"/>
    </row>
    <row r="24">
      <c r="AQ24" s="4"/>
      <c r="BF24" s="4"/>
    </row>
    <row r="25">
      <c r="AQ25" s="3"/>
      <c r="BF25" s="3"/>
    </row>
    <row r="26">
      <c r="AQ26" s="3"/>
      <c r="BF26" s="3"/>
    </row>
    <row r="27">
      <c r="AQ27" s="3"/>
      <c r="BF27" s="3"/>
    </row>
  </sheetData>
  <drawing r:id="rId1"/>
</worksheet>
</file>